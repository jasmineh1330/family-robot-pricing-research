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对标表" sheetId="1" state="visible" r:id="rId1"/>
    <sheet xmlns:r="http://schemas.openxmlformats.org/officeDocument/2006/relationships" name="定价测算" sheetId="2" state="visible" r:id="rId2"/>
    <sheet xmlns:r="http://schemas.openxmlformats.org/officeDocument/2006/relationships" name="数据来源清单" sheetId="3" state="visible" r:id="rId3"/>
    <sheet xmlns:r="http://schemas.openxmlformats.org/officeDocument/2006/relationships" name="调研录入与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1B2A4A"/>
      <sz val="16"/>
    </font>
    <font>
      <name val="微软雅黑"/>
      <b val="1"/>
      <color rgb="00FFFFFF"/>
      <sz val="11"/>
    </font>
    <font>
      <name val="微软雅黑"/>
      <color rgb="0037352F"/>
      <sz val="11"/>
    </font>
    <font>
      <name val="微软雅黑"/>
      <color rgb="008C8A84"/>
      <sz val="9"/>
    </font>
    <font>
      <name val="微软雅黑"/>
      <b val="1"/>
      <color rgb="001B2A4A"/>
      <sz val="12"/>
    </font>
    <font>
      <name val="微软雅黑"/>
      <b val="1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3" fontId="3" fillId="5" borderId="0" applyAlignment="1" pivotButton="0" quotePrefix="0" xfId="0">
      <alignment horizontal="right" vertical="center" wrapText="1"/>
    </xf>
    <xf numFmtId="9" fontId="3" fillId="5" borderId="0" applyAlignment="1" pivotButton="0" quotePrefix="0" xfId="0">
      <alignment horizontal="right" vertical="center" wrapText="1"/>
    </xf>
    <xf numFmtId="3" fontId="6" fillId="0" borderId="0" applyAlignment="1" pivotButton="0" quotePrefix="0" xfId="0">
      <alignment horizontal="right" vertical="center" wrapText="1"/>
    </xf>
    <xf numFmtId="1" fontId="3" fillId="5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164" fontId="3" fillId="4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right" vertical="center" wrapText="1"/>
    </xf>
    <xf numFmtId="165" fontId="3" fillId="5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9" fontId="3" fillId="3" borderId="0" applyAlignment="1" pivotButton="0" quotePrefix="0" xfId="0">
      <alignment horizontal="right" vertical="center" wrapText="1"/>
    </xf>
    <xf numFmtId="3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9" fontId="3" fillId="4" borderId="0" applyAlignment="1" pivotButton="0" quotePrefix="0" xfId="0">
      <alignment horizontal="right" vertical="center" wrapText="1"/>
    </xf>
    <xf numFmtId="3" fontId="3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付费友好率：按居住类型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'调研录入与图表'!E46</f>
            </strRef>
          </tx>
          <spPr>
            <a:ln xmlns:a="http://schemas.openxmlformats.org/drawingml/2006/main">
              <a:prstDash val="solid"/>
            </a:ln>
          </spPr>
          <cat>
            <numRef>
              <f>'调研录入与图表'!$B$47:$B$50</f>
            </numRef>
          </cat>
          <val>
            <numRef>
              <f>'调研录入与图表'!$E$47:$E$50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平均可接受月支出：按居住类型（元）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'调研录入与图表'!F46</f>
            </strRef>
          </tx>
          <spPr>
            <a:ln xmlns:a="http://schemas.openxmlformats.org/drawingml/2006/main">
              <a:prstDash val="solid"/>
            </a:ln>
          </spPr>
          <cat>
            <numRef>
              <f>'调研录入与图表'!$B$47:$B$50</f>
            </numRef>
          </cat>
          <val>
            <numRef>
              <f>'调研录入与图表'!$F$47:$F$50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付费友好率：按年龄段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'调研录入与图表'!E53</f>
            </strRef>
          </tx>
          <spPr>
            <a:ln xmlns:a="http://schemas.openxmlformats.org/drawingml/2006/main">
              <a:prstDash val="solid"/>
            </a:ln>
          </spPr>
          <cat>
            <numRef>
              <f>'调研录入与图表'!$B$54:$B$57</f>
            </numRef>
          </cat>
          <val>
            <numRef>
              <f>'调研录入与图表'!$E$54:$E$57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27.49999999999999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 ht="15" customHeight="1"/>
    <row r="2" ht="32" customHeight="1">
      <c r="B2" s="1" t="inlineStr">
        <is>
          <t>家庭服务机器人竞品对标表（个人研究项目）</t>
        </is>
      </c>
    </row>
    <row r="3" ht="8" customHeight="1"/>
    <row r="4" ht="28" customHeight="1">
      <c r="B4" s="2" t="inlineStr">
        <is>
          <t>公司</t>
        </is>
      </c>
      <c r="C4" s="2" t="inlineStr">
        <is>
          <t>代表产品/服务</t>
        </is>
      </c>
      <c r="D4" s="2" t="inlineStr">
        <is>
          <t>形态</t>
        </is>
      </c>
      <c r="E4" s="2" t="inlineStr">
        <is>
          <t>目标场景</t>
        </is>
      </c>
      <c r="F4" s="2" t="inlineStr">
        <is>
          <t>价格/收费（含口径）</t>
        </is>
      </c>
      <c r="G4" s="2" t="inlineStr">
        <is>
          <t>交互方式</t>
        </is>
      </c>
      <c r="H4" s="2" t="inlineStr">
        <is>
          <t>AI 能力主张</t>
        </is>
      </c>
      <c r="I4" s="2" t="inlineStr">
        <is>
          <t>商业模式</t>
        </is>
      </c>
      <c r="J4" s="2" t="inlineStr">
        <is>
          <t>落地状态</t>
        </is>
      </c>
      <c r="K4" s="2" t="inlineStr">
        <is>
          <t>融资/背书</t>
        </is>
      </c>
      <c r="L4" s="2" t="inlineStr">
        <is>
          <t>信息来源（核实日期）</t>
        </is>
      </c>
      <c r="M4" s="2" t="inlineStr">
        <is>
          <t>我的判断（一句话）</t>
        </is>
      </c>
    </row>
    <row r="5" ht="54" customHeight="1">
      <c r="B5" s="3" t="inlineStr">
        <is>
          <t>自变量机器人（目标公司）</t>
        </is>
      </c>
      <c r="C5" s="3" t="inlineStr">
        <is>
          <t>QUANXTA 机器人本体 + WALL 系列大模型（WALL-A / WALL-OSS 开源 / WALL-B 世界统一模型）</t>
        </is>
      </c>
      <c r="D5" s="3" t="inlineStr">
        <is>
          <t>具身智能本体（形态需官网核实）</t>
        </is>
      </c>
      <c r="E5" s="3" t="inlineStr">
        <is>
          <t>家庭（收纳/清洁/取物）+ 物流分拣；养老场景已试点</t>
        </is>
      </c>
      <c r="F5" s="3" t="inlineStr">
        <is>
          <t>机器人+阿姨上门保洁 149 元/次（约 3 小时，宣传价）</t>
        </is>
      </c>
      <c r="G5" s="3" t="inlineStr">
        <is>
          <t>待核实（官网/发布会）</t>
        </is>
      </c>
      <c r="H5" s="3" t="inlineStr">
        <is>
          <t>端到端 VLA；WALL-OSS 开源；2026 年发布 WALL-B</t>
        </is>
      </c>
      <c r="I5" s="3" t="inlineStr">
        <is>
          <t>与 58 到家合作的“人机协同”上门服务；模型开源建生态</t>
        </is>
      </c>
      <c r="J5" s="3" t="inlineStr">
        <is>
          <t>2026.4 宣布机器人进家上岗（深圳）；B 轮后估值超 200 亿</t>
        </is>
      </c>
      <c r="K5" s="3" t="inlineStr">
        <is>
          <t>美团/阿里云/字节/小米/红杉——国内唯一集齐四大互联网大厂投资的具身智能公司</t>
        </is>
      </c>
      <c r="L5" s="3" t="inlineStr">
        <is>
          <t>x2robot.com；深圳新闻网 2026-04-22（核实 2026-09-05）</t>
        </is>
      </c>
      <c r="M5" s="3" t="inlineStr">
        <is>
          <t>先卖“服务”不卖“硬件”——用 149 元/次绕开整机定价难题，先跑通服务再谈规模化</t>
        </is>
      </c>
    </row>
    <row r="6" ht="54" customHeight="1">
      <c r="B6" s="4" t="inlineStr">
        <is>
          <t>宇树 Unitree</t>
        </is>
      </c>
      <c r="C6" s="4" t="inlineStr">
        <is>
          <t>G1 / R1 人形机器人</t>
        </is>
      </c>
      <c r="D6" s="4" t="inlineStr">
        <is>
          <t>人形（小型—全尺寸）</t>
        </is>
      </c>
      <c r="E6" s="4" t="inlineStr">
        <is>
          <t>科研/展演/开发者，尚未真正进家庭</t>
        </is>
      </c>
      <c r="F6" s="4" t="inlineStr">
        <is>
          <t>G1 9.9 万元起、R1 2.99 万元起（买断）</t>
        </is>
      </c>
      <c r="G6" s="4" t="inlineStr">
        <is>
          <t>App + 遥控 + 语音</t>
        </is>
      </c>
      <c r="H6" s="4" t="inlineStr">
        <is>
          <t>运动控制强；“人形智能体 AI 化身”</t>
        </is>
      </c>
      <c r="I6" s="4" t="inlineStr">
        <is>
          <t>硬件买断 + 开发者/教育生态</t>
        </is>
      </c>
      <c r="J6" s="4" t="inlineStr">
        <is>
          <t>京东开售、线下首店；均价两年从 59 万降到约 17 万</t>
        </is>
      </c>
      <c r="K6" s="4" t="inlineStr">
        <is>
          <t>明星民营公司（王兴兴）</t>
        </is>
      </c>
      <c r="L6" s="4" t="inlineStr">
        <is>
          <t>unitree.com/cn/news/28；财联社（核实 2026-09-05）</t>
        </is>
      </c>
      <c r="M6" s="4" t="inlineStr">
        <is>
          <t>低价硬件铺量攒生态；它证明了硬件降价速度，但家庭“真服务”未被验证</t>
        </is>
      </c>
    </row>
    <row r="7" ht="54" customHeight="1">
      <c r="B7" s="3" t="inlineStr">
        <is>
          <t>智元机器人</t>
        </is>
      </c>
      <c r="C7" s="3" t="inlineStr">
        <is>
          <t>远征A2 / 灵犀X2 / 精灵G1（2025.8 全系开售）</t>
        </is>
      </c>
      <c r="D7" s="3" t="inlineStr">
        <is>
          <t>人形（交互服务）+ 轮式</t>
        </is>
      </c>
      <c r="E7" s="3" t="inlineStr">
        <is>
          <t>交互服务/展演接待等 B 端场景，家庭未进入</t>
        </is>
      </c>
      <c r="F7" s="3" t="inlineStr">
        <is>
          <t>灵犀X2 青春版 9.8 万；远征A2 青春版 16.8 万；精灵G1 45 万（买断、支持分期）</t>
        </is>
      </c>
      <c r="G7" s="3" t="inlineStr">
        <is>
          <t>语音对话 + 人脸识别（灵犀X2 可记 1000 张人脸）</t>
        </is>
      </c>
      <c r="H7" s="3" t="inlineStr">
        <is>
          <t>具身智能交互大模型</t>
        </is>
      </c>
      <c r="I7" s="3" t="inlineStr">
        <is>
          <t>硬件买断（含分期）</t>
        </is>
      </c>
      <c r="J7" s="3" t="inlineStr">
        <is>
          <t>2025.8 全系商品化开售，“从实验室样品到商品”</t>
        </is>
      </c>
      <c r="K7" s="3" t="inlineStr">
        <is>
          <t>腾讯、比亚迪等产业资本多轮投资</t>
        </is>
      </c>
      <c r="L7" s="3" t="inlineStr">
        <is>
          <t>新浪财经 2025-08-18（核实 2026-09-05）</t>
        </is>
      </c>
      <c r="M7" s="3" t="inlineStr">
        <is>
          <t>全系开售把人形标价打到 9.8 万，但第一批“付得起钱”的场景是展演/接待，家庭不在列</t>
        </is>
      </c>
    </row>
    <row r="8" ht="54" customHeight="1">
      <c r="B8" s="4" t="inlineStr">
        <is>
          <t>银河通用</t>
        </is>
      </c>
      <c r="C8" s="4" t="inlineStr">
        <is>
          <t>Galbot G1（轮式双臂 + 灵巧手）</t>
        </is>
      </c>
      <c r="D8" s="4" t="inlineStr">
        <is>
          <t>轮式双臂仿人（无双腿）</t>
        </is>
      </c>
      <c r="E8" s="4" t="inlineStr">
        <is>
          <t>B 端零售/药房（美团无人药店、智慧药房）</t>
        </is>
      </c>
      <c r="F8" s="4" t="inlineStr">
        <is>
          <t>未公开（B 端解决方案报价）</t>
        </is>
      </c>
      <c r="G8" s="4" t="inlineStr">
        <is>
          <t>语音 + 抓取取送</t>
        </is>
      </c>
      <c r="H8" s="4" t="inlineStr">
        <is>
          <t>具身多模态大模型；取送任务演示成功率 99.97%</t>
        </is>
      </c>
      <c r="I8" s="4" t="inlineStr">
        <is>
          <t>B 端整机销售 + 运营解决方案（签约约 100 家智慧药房/门店）</t>
        </is>
      </c>
      <c r="J8" s="4" t="inlineStr">
        <is>
          <t>北京近十家美团无人药店部署；一年约 150 台</t>
        </is>
      </c>
      <c r="K8" s="4" t="inlineStr">
        <is>
          <t>2026.3 新一轮 25 亿元（国家 AI 基金、中石化、中信等），估值超 200 亿</t>
        </is>
      </c>
      <c r="L8" s="4" t="inlineStr">
        <is>
          <t>人民网 2026-03-03（核实 2026-09-05）</t>
        </is>
      </c>
      <c r="M8" s="4" t="inlineStr">
        <is>
          <t>用“固定场景+轮式双臂”先跑通 B 端——证明当下能赚钱的具身智能都在“货与人集中”的商用场景</t>
        </is>
      </c>
    </row>
    <row r="9" ht="54" customHeight="1">
      <c r="B9" s="3" t="inlineStr">
        <is>
          <t>石头科技</t>
        </is>
      </c>
      <c r="C9" s="3" t="inlineStr">
        <is>
          <t>G30S Ultra / P20 系列扫地机</t>
        </is>
      </c>
      <c r="D9" s="3" t="inlineStr">
        <is>
          <t>扫地机器人</t>
        </is>
      </c>
      <c r="E9" s="3" t="inlineStr">
        <is>
          <t>家庭地面清洁</t>
        </is>
      </c>
      <c r="F9" s="3" t="inlineStr">
        <is>
          <t>主销 2500–6000 元，旗舰约 5000–7000 元（买断）</t>
        </is>
      </c>
      <c r="G9" s="3" t="inlineStr">
        <is>
          <t>App + 语音</t>
        </is>
      </c>
      <c r="H9" s="3" t="inlineStr">
        <is>
          <t>AI 避障、自清洁</t>
        </is>
      </c>
      <c r="I9" s="3" t="inlineStr">
        <is>
          <t>买断（京东/天猫/线下渠道）</t>
        </is>
      </c>
      <c r="J9" s="3" t="inlineStr">
        <is>
          <t>规模量产，上市公司</t>
        </is>
      </c>
      <c r="K9" s="3" t="inlineStr">
        <is>
          <t>A 股上市</t>
        </is>
      </c>
      <c r="L9" s="3" t="inlineStr">
        <is>
          <t>cn.roborock.com；电商实时价（核实 2026-09-05）</t>
        </is>
      </c>
      <c r="M9" s="3" t="inlineStr">
        <is>
          <t>家庭清洁“价格带天花板”——4000–6000 元是家庭为清洁功能付费的成熟区间</t>
        </is>
      </c>
    </row>
    <row r="10" ht="54" customHeight="1">
      <c r="B10" s="4" t="inlineStr">
        <is>
          <t>科沃斯</t>
        </is>
      </c>
      <c r="C10" s="4" t="inlineStr">
        <is>
          <t>X12 PRO / X11 PRO 洗地·扫地机器人</t>
        </is>
      </c>
      <c r="D10" s="4" t="inlineStr">
        <is>
          <t>扫地/洗地机器人</t>
        </is>
      </c>
      <c r="E10" s="4" t="inlineStr">
        <is>
          <t>家庭清洁</t>
        </is>
      </c>
      <c r="F10" s="4" t="inlineStr">
        <is>
          <t>X12 PRO 旗舰 4999 元（到手约 3956–4899）；X11 PRO 促销约 3191 元</t>
        </is>
      </c>
      <c r="G10" s="4" t="inlineStr">
        <is>
          <t>App + 语音</t>
        </is>
      </c>
      <c r="H10" s="4" t="inlineStr">
        <is>
          <t>“灵渍喷溶”洗地、AI 避障</t>
        </is>
      </c>
      <c r="I10" s="4" t="inlineStr">
        <is>
          <t>买断（电商 + 线下）</t>
        </is>
      </c>
      <c r="J10" s="4" t="inlineStr">
        <is>
          <t>规模量产，A 股上市</t>
        </is>
      </c>
      <c r="K10" s="4" t="inlineStr">
        <is>
          <t>A 股上市公司</t>
        </is>
      </c>
      <c r="L10" s="4" t="inlineStr">
        <is>
          <t>科沃斯商城/PConline 报价（核实 2026-09-05）</t>
        </is>
      </c>
      <c r="M10" s="4" t="inlineStr">
        <is>
          <t>与石头/追觅共同构成“清洁价格带”，是家庭清洁付费的成熟标尺</t>
        </is>
      </c>
    </row>
    <row r="11" ht="38" customHeight="1">
      <c r="B11" s="3" t="inlineStr">
        <is>
          <t>追觅</t>
        </is>
      </c>
      <c r="C11" s="3" t="inlineStr">
        <is>
          <t>X60 Pro / X50 系列扫地机</t>
        </is>
      </c>
      <c r="D11" s="3" t="inlineStr">
        <is>
          <t>扫地机器人</t>
        </is>
      </c>
      <c r="E11" s="3" t="inlineStr">
        <is>
          <t>家庭清洁</t>
        </is>
      </c>
      <c r="F11" s="3" t="inlineStr">
        <is>
          <t>X60 Pro 约 5999 元；X50 Pro 约 4999 元（电商到手价）</t>
        </is>
      </c>
      <c r="G11" s="3" t="inlineStr">
        <is>
          <t>App + 语音</t>
        </is>
      </c>
      <c r="H11" s="3" t="inlineStr">
        <is>
          <t>超大吸力 + 高温蒸汽 + AI</t>
        </is>
      </c>
      <c r="I11" s="3" t="inlineStr">
        <is>
          <t>买断（电商为主）</t>
        </is>
      </c>
      <c r="J11" s="3" t="inlineStr">
        <is>
          <t>规模量产</t>
        </is>
      </c>
      <c r="K11" s="3" t="inlineStr">
        <is>
          <t>小米生态链出身，独立发展</t>
        </is>
      </c>
      <c r="L11" s="3" t="inlineStr">
        <is>
          <t>新浪/电商报价（核实 2026-09-05）</t>
        </is>
      </c>
      <c r="M11" s="3" t="inlineStr">
        <is>
          <t>旗舰顶到 6000 元档，验证家庭“为清洁力付费”的上限</t>
        </is>
      </c>
    </row>
    <row r="12" ht="38" customHeight="1">
      <c r="B12" s="4" t="inlineStr">
        <is>
          <t>云鲸智能</t>
        </is>
      </c>
      <c r="C12" s="4" t="inlineStr">
        <is>
          <t>逍遥003 / 逍遥002 / J 系列</t>
        </is>
      </c>
      <c r="D12" s="4" t="inlineStr">
        <is>
          <t>扫地/洗地机器人</t>
        </is>
      </c>
      <c r="E12" s="4" t="inlineStr">
        <is>
          <t>家庭清洁</t>
        </is>
      </c>
      <c r="F12" s="4" t="inlineStr">
        <is>
          <t>逍遥003 首发 5199 元起、上下水版 5799 元（到手可低于 5000）</t>
        </is>
      </c>
      <c r="G12" s="4" t="inlineStr">
        <is>
          <t>App + 语音</t>
        </is>
      </c>
      <c r="H12" s="4" t="inlineStr">
        <is>
          <t>双目视觉（“有双目，清洁不盲目”）</t>
        </is>
      </c>
      <c r="I12" s="4" t="inlineStr">
        <is>
          <t>买断（电商为主）</t>
        </is>
      </c>
      <c r="J12" s="4" t="inlineStr">
        <is>
          <t>规模量产；2026.3 发布新旗舰逍遥003</t>
        </is>
      </c>
      <c r="K12" s="4" t="inlineStr">
        <is>
          <t>历轮获知名机构投资的独角兽</t>
        </is>
      </c>
      <c r="L12" s="4" t="inlineStr">
        <is>
          <t>narwal.com；潮新闻 2026-03（核实 2026-09-05）</t>
        </is>
      </c>
      <c r="M12" s="4" t="inlineStr">
        <is>
          <t>双目视觉下放到清洁旗舰——“看得懂家”正在从人形品类向清洁品类扩散</t>
        </is>
      </c>
    </row>
    <row r="13" ht="38" customHeight="1">
      <c r="B13" s="3" t="inlineStr">
        <is>
          <t>（自选补充：建议 1X/Figure 等海外厂商）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22" customHeight="1">
      <c r="B14" s="4" t="inlineStr">
        <is>
          <t>（自选补充）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/>
    <row r="16"/>
    <row r="17" ht="30" customHeight="1">
      <c r="B17" s="5" t="inlineStr">
        <is>
          <t>使用规则：① 每一格都要能回答“你在哪看到的”——来源列必须给链接/媒体名+核实日期；② 价格写“口径”（买断/租金/单次/补贴价）不写裸数字；③ “我的判断”列是整张表的灵魂：不是复述事实，而是说出这对目标公司意味着什么。</t>
        </is>
      </c>
    </row>
    <row r="18" ht="30" customHeight="1">
      <c r="B18" s="5" t="inlineStr">
        <is>
          <t>查价提示：电商价随促销波动，写“官方指导价 + 到手价”两个口径；二手价去闲鱼看，是真实支付意愿。前 8 行已按 2026-09-05 核实的公开信息填好，引用前自行复核。</t>
        </is>
      </c>
    </row>
  </sheetData>
  <mergeCells count="3">
    <mergeCell ref="B2:M2"/>
    <mergeCell ref="B17:M17"/>
    <mergeCell ref="B18:M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46" customWidth="1" min="5" max="5"/>
    <col width="34" customWidth="1" min="6" max="6"/>
  </cols>
  <sheetData>
    <row r="1" ht="15" customHeight="1"/>
    <row r="2" ht="32" customHeight="1">
      <c r="B2" s="1" t="inlineStr">
        <is>
          <t>家庭服务机器人定价模式测算（买断 vs 租赁 vs 订阅 vs 服务）</t>
        </is>
      </c>
    </row>
    <row r="3" ht="8" customHeight="1"/>
    <row r="4" ht="24" customHeight="1">
      <c r="B4" s="6" t="inlineStr">
        <is>
          <t>A. 市场锚点（已核实，截至 2026-09；引用前请自己再点一遍链接）</t>
        </is>
      </c>
    </row>
    <row r="5" ht="38" customHeight="1">
      <c r="B5" s="2" t="inlineStr">
        <is>
          <t>锚点</t>
        </is>
      </c>
      <c r="C5" s="2" t="inlineStr">
        <is>
          <t>数值</t>
        </is>
      </c>
      <c r="D5" s="2" t="inlineStr">
        <is>
          <t>怎么用（教学提示）</t>
        </is>
      </c>
      <c r="E5" s="2" t="inlineStr">
        <is>
          <t>来源</t>
        </is>
      </c>
    </row>
    <row r="6" ht="86" customHeight="1">
      <c r="B6" s="3" t="inlineStr">
        <is>
          <t>扫地机主力价格带</t>
        </is>
      </c>
      <c r="C6" s="3" t="inlineStr">
        <is>
          <t>4000–6000 元</t>
        </is>
      </c>
      <c r="D6" s="3" t="inlineStr">
        <is>
          <t>家庭为“清洁功能”付费的成熟区间，任何家用机器人都绕不开这个参照系</t>
        </is>
      </c>
      <c r="E6" s="3" t="inlineStr">
        <is>
          <t>新浪财经/电商，核实 2026-09-05</t>
        </is>
      </c>
    </row>
    <row r="7" ht="54" customHeight="1">
      <c r="B7" s="4" t="inlineStr">
        <is>
          <t>扫地机入门价格带</t>
        </is>
      </c>
      <c r="C7" s="4" t="inlineStr">
        <is>
          <t>1500–2500 元</t>
        </is>
      </c>
      <c r="D7" s="4" t="inlineStr">
        <is>
          <t>家庭对新形态家电的“试错价”下限</t>
        </is>
      </c>
      <c r="E7" s="4" t="inlineStr">
        <is>
          <t>电商</t>
        </is>
      </c>
    </row>
    <row r="8" ht="70" customHeight="1">
      <c r="B8" s="3" t="inlineStr">
        <is>
          <t>宇树 G1 / R1 人形</t>
        </is>
      </c>
      <c r="C8" s="3" t="inlineStr">
        <is>
          <t>9.9 万起 / 2.99 万起</t>
        </is>
      </c>
      <c r="D8" s="3" t="inlineStr">
        <is>
          <t>人形硬件当前真实售价（买断）；离家用仍差 1–2 个数量级</t>
        </is>
      </c>
      <c r="E8" s="3" t="inlineStr">
        <is>
          <t>unitree.com（核实 2026-09-05）</t>
        </is>
      </c>
    </row>
    <row r="9" ht="54" customHeight="1">
      <c r="B9" s="4" t="inlineStr">
        <is>
          <t>特斯拉 Optimus 目标价</t>
        </is>
      </c>
      <c r="C9" s="4" t="inlineStr">
        <is>
          <t>2–3 万美元</t>
        </is>
      </c>
      <c r="D9" s="4" t="inlineStr">
        <is>
          <t>远期家用化锚点（马斯克口径），当参照不当事实</t>
        </is>
      </c>
      <c r="E9" s="4" t="inlineStr">
        <is>
          <t>公开演讲报道</t>
        </is>
      </c>
    </row>
    <row r="10" ht="70" customHeight="1">
      <c r="B10" s="3" t="inlineStr">
        <is>
          <t>FSD 中国买断</t>
        </is>
      </c>
      <c r="C10" s="3" t="inlineStr">
        <is>
          <t>6.4 万元（2026.2 起取消）</t>
        </is>
      </c>
      <c r="D10" s="3" t="inlineStr">
        <is>
          <t>智能能力从买断转订阅的标志性案例——研究定价必引</t>
        </is>
      </c>
      <c r="E10" s="3" t="inlineStr">
        <is>
          <t>财联社（核实 2026-09-05）</t>
        </is>
      </c>
    </row>
    <row r="11" ht="54" customHeight="1">
      <c r="B11" s="4" t="inlineStr">
        <is>
          <t>FSD 美国订阅</t>
        </is>
      </c>
      <c r="C11" s="4" t="inlineStr">
        <is>
          <t>99 美元/月 ≈ 700 元/月</t>
        </is>
      </c>
      <c r="D11" s="4" t="inlineStr">
        <is>
          <t>软件/能力订阅的现实定价上限参考</t>
        </is>
      </c>
      <c r="E11" s="4" t="inlineStr">
        <is>
          <t>财联社</t>
        </is>
      </c>
    </row>
    <row r="12" ht="38" customHeight="1">
      <c r="B12" s="3" t="inlineStr">
        <is>
          <t>上门保洁（纯人工）</t>
        </is>
      </c>
      <c r="C12" s="3" t="inlineStr">
        <is>
          <t>约 50–100 元/小时</t>
        </is>
      </c>
      <c r="D12" s="3" t="inlineStr">
        <is>
          <t>机器人要替代的人工成本基线</t>
        </is>
      </c>
      <c r="E12" s="3" t="inlineStr">
        <is>
          <t>58到家/天鹅到家</t>
        </is>
      </c>
    </row>
    <row r="13" ht="70" customHeight="1">
      <c r="B13" s="4" t="inlineStr">
        <is>
          <t>自变量 × 58到家</t>
        </is>
      </c>
      <c r="C13" s="4" t="inlineStr">
        <is>
          <t>149 元/次（约 3 小时）</t>
        </is>
      </c>
      <c r="D13" s="4" t="inlineStr">
        <is>
          <t>目标公司当前真实收费——重点研究对象，算它的单位经济账</t>
        </is>
      </c>
      <c r="E13" s="4" t="inlineStr">
        <is>
          <t>品玩/深圳新闻网（核实 2026-09-05）</t>
        </is>
      </c>
    </row>
    <row r="15" ht="24" customHeight="1">
      <c r="B15" s="6" t="inlineStr">
        <is>
          <t>B. 四种模式的算术（黄色格 = 假设，随便改；加粗蓝字 = 公式自动重算）</t>
        </is>
      </c>
    </row>
    <row r="16">
      <c r="B16" s="7" t="inlineStr">
        <is>
          <t>教学提示：先改黄色格看结果怎么动，再问自己“这个假设合理吗、面试官会挑战哪个”。</t>
        </is>
      </c>
    </row>
    <row r="18" ht="24" customHeight="1">
      <c r="B18" s="6" t="inlineStr">
        <is>
          <t>模式 1 买断——核心问题：这个 BOM 做得出来吗？</t>
        </is>
      </c>
    </row>
    <row r="19">
      <c r="B19" s="7" t="inlineStr">
        <is>
          <t>假设：整机售价（元）</t>
        </is>
      </c>
      <c r="C19" s="8" t="n">
        <v>30000</v>
      </c>
    </row>
    <row r="20">
      <c r="B20" s="7" t="inlineStr">
        <is>
          <t>假设：渠道+营销费率</t>
        </is>
      </c>
      <c r="C20" s="9" t="n">
        <v>0.25</v>
      </c>
    </row>
    <row r="21">
      <c r="B21" s="7" t="inlineStr">
        <is>
          <t>假设：目标毛利率</t>
        </is>
      </c>
      <c r="C21" s="9" t="n">
        <v>0.3</v>
      </c>
    </row>
    <row r="22">
      <c r="B22" s="7" t="inlineStr">
        <is>
          <t>→ 可承受 BOM 上限（元）</t>
        </is>
      </c>
      <c r="C22" s="10">
        <f>IFERROR(C19*(1-C20-C21),"检查假设")</f>
        <v/>
      </c>
      <c r="D22" s="7" t="inlineStr">
        <is>
          <t>参照：宇树 G1 整机卖 9.9 万起；1.35 万的 BOM 对“有手有眼”的家用机器人是极限挑战</t>
        </is>
      </c>
    </row>
    <row r="24" ht="24" customHeight="1">
      <c r="B24" s="6" t="inlineStr">
        <is>
          <t>模式 2 租赁——核心问题：月租降到多少家庭才肯掏？</t>
        </is>
      </c>
    </row>
    <row r="25">
      <c r="B25" s="7" t="inlineStr">
        <is>
          <t>假设：设备价（元）</t>
        </is>
      </c>
      <c r="C25" s="8" t="n">
        <v>30000</v>
      </c>
    </row>
    <row r="26">
      <c r="B26" s="7" t="inlineStr">
        <is>
          <t>假设：租期（月）</t>
        </is>
      </c>
      <c r="C26" s="11" t="n">
        <v>36</v>
      </c>
    </row>
    <row r="27">
      <c r="B27" s="7" t="inlineStr">
        <is>
          <t>假设：残值率</t>
        </is>
      </c>
      <c r="C27" s="9" t="n">
        <v>0.2</v>
      </c>
    </row>
    <row r="28">
      <c r="B28" s="7" t="inlineStr">
        <is>
          <t>假设：资金成本（年化）</t>
        </is>
      </c>
      <c r="C28" s="9" t="n">
        <v>0.08</v>
      </c>
    </row>
    <row r="29">
      <c r="B29" s="7" t="inlineStr">
        <is>
          <t>假设：运维成本（元/月）</t>
        </is>
      </c>
      <c r="C29" s="8" t="n">
        <v>100</v>
      </c>
    </row>
    <row r="30">
      <c r="B30" s="7" t="inlineStr">
        <is>
          <t>假设：目标毛利率</t>
        </is>
      </c>
      <c r="C30" s="9" t="n">
        <v>0.15</v>
      </c>
    </row>
    <row r="31">
      <c r="B31" s="7" t="inlineStr">
        <is>
          <t>→ 月租金（元/月）</t>
        </is>
      </c>
      <c r="C31" s="10">
        <f>IFERROR((C25*(1-C27)/C26+C25*C28/12+C29)/(1-C30),"检查假设")</f>
        <v/>
      </c>
      <c r="D31" s="7" t="inlineStr">
        <is>
          <t>参照：一线城市家政阿姨包月 4000–6000 元；机器人月租若 &gt;2000 元很难说服家庭</t>
        </is>
      </c>
    </row>
    <row r="33" ht="24" customHeight="1">
      <c r="B33" s="6" t="inlineStr">
        <is>
          <t>模式 3 订阅——核心问题：订阅 LTV 能不能养得起硬件？</t>
        </is>
      </c>
    </row>
    <row r="34">
      <c r="B34" s="7" t="inlineStr">
        <is>
          <t>假设：硬件按成本价卖（元）</t>
        </is>
      </c>
      <c r="C34" s="8" t="n">
        <v>13500</v>
      </c>
    </row>
    <row r="35">
      <c r="B35" s="7" t="inlineStr">
        <is>
          <t>假设：订阅价（元/月）</t>
        </is>
      </c>
      <c r="C35" s="8" t="n">
        <v>299</v>
      </c>
    </row>
    <row r="36">
      <c r="B36" s="7" t="inlineStr">
        <is>
          <t>假设：订阅毛利率</t>
        </is>
      </c>
      <c r="C36" s="9" t="n">
        <v>0.6</v>
      </c>
    </row>
    <row r="37">
      <c r="B37" s="7" t="inlineStr">
        <is>
          <t>假设：平均留存（月）</t>
        </is>
      </c>
      <c r="C37" s="11" t="n">
        <v>24</v>
      </c>
    </row>
    <row r="38">
      <c r="B38" s="7" t="inlineStr">
        <is>
          <t>→ 单用户订阅毛利 LTV（元）</t>
        </is>
      </c>
      <c r="C38" s="10">
        <f>IFERROR(C35*C36*C37,"检查假设")</f>
        <v/>
      </c>
      <c r="D38" s="7" t="inlineStr">
        <is>
          <t>对比硬件成本价：缺口 = 成本价 − LTV（自己算）。参照 FSD：美国 99 美元/月，中国买断 6.4 万后被取消</t>
        </is>
      </c>
    </row>
    <row r="40" ht="24" customHeight="1">
      <c r="B40" s="6" t="inlineStr">
        <is>
          <t>模式 4 服务单次——目标公司正在用的模式，算它的单位经济账</t>
        </is>
      </c>
    </row>
    <row r="41">
      <c r="B41" s="7" t="inlineStr">
        <is>
          <t>假设：单次收费（元）</t>
        </is>
      </c>
      <c r="C41" s="8" t="n">
        <v>149</v>
      </c>
    </row>
    <row r="42">
      <c r="B42" s="7" t="inlineStr">
        <is>
          <t>假设：单次人工成本（元，阿姨分成）</t>
        </is>
      </c>
      <c r="C42" s="8" t="n">
        <v>100</v>
      </c>
    </row>
    <row r="43">
      <c r="B43" s="7" t="inlineStr">
        <is>
          <t>假设：单次调度/管理成本（元）</t>
        </is>
      </c>
      <c r="C43" s="8" t="n">
        <v>10</v>
      </c>
    </row>
    <row r="44">
      <c r="B44" s="7" t="inlineStr">
        <is>
          <t>假设：设备价（元）</t>
        </is>
      </c>
      <c r="C44" s="8" t="n">
        <v>30000</v>
      </c>
    </row>
    <row r="45">
      <c r="B45" s="7" t="inlineStr">
        <is>
          <t>假设：折旧期（月）</t>
        </is>
      </c>
      <c r="C45" s="11" t="n">
        <v>24</v>
      </c>
    </row>
    <row r="46">
      <c r="B46" s="7" t="inlineStr">
        <is>
          <t>假设：日均单量（单）/ 每月营业天数（天）</t>
        </is>
      </c>
      <c r="C46" s="11" t="n">
        <v>10</v>
      </c>
      <c r="D46" s="11" t="n">
        <v>30</v>
      </c>
    </row>
    <row r="47">
      <c r="B47" s="7" t="inlineStr">
        <is>
          <t>→ 单次毛贡献（元/单）</t>
        </is>
      </c>
      <c r="C47" s="12">
        <f>IFERROR(C41-C42-C43-C44/C45/C46/D46,"检查假设")</f>
        <v/>
      </c>
      <c r="E47" s="7" t="inlineStr">
        <is>
          <t>毛贡献仅约 +35 元/单，且未含研发摊销与获客成本——服务模式本身不赚钱，本质是数据与口碑生意</t>
        </is>
      </c>
    </row>
    <row r="49" ht="24" customHeight="1">
      <c r="B49" s="6" t="inlineStr">
        <is>
          <t>B5. 敏感性：单次毛贡献（元/单）随“人工成本 × 日均单量”怎么变（设备/折旧假设同上）</t>
        </is>
      </c>
    </row>
    <row r="50">
      <c r="B50" s="7" t="inlineStr">
        <is>
          <t>人工成本（元/单）＼日均单量（单）</t>
        </is>
      </c>
      <c r="C50" s="13" t="n">
        <v>5</v>
      </c>
      <c r="D50" s="13" t="n">
        <v>10</v>
      </c>
      <c r="E50" s="13" t="n">
        <v>15</v>
      </c>
    </row>
    <row r="51">
      <c r="B51" s="13" t="n">
        <v>70</v>
      </c>
      <c r="C51" s="14">
        <f>IFERROR($C$41-$B51-$C$43-$C$44/$C$45/C$50/$D$46,"检查")</f>
        <v/>
      </c>
      <c r="D51" s="15">
        <f>IFERROR($C$41-$B51-$C$43-$C$44/$C$45/D$50/$D$46,"检查")</f>
        <v/>
      </c>
      <c r="E51" s="14">
        <f>IFERROR($C$41-$B51-$C$43-$C$44/$C$45/E$50/$D$46,"检查")</f>
        <v/>
      </c>
    </row>
    <row r="52">
      <c r="B52" s="13" t="n">
        <v>100</v>
      </c>
      <c r="C52" s="15">
        <f>IFERROR($C$41-$B52-$C$43-$C$44/$C$45/C$50/$D$46,"检查")</f>
        <v/>
      </c>
      <c r="D52" s="14">
        <f>IFERROR($C$41-$B52-$C$43-$C$44/$C$45/D$50/$D$46,"检查")</f>
        <v/>
      </c>
      <c r="E52" s="15">
        <f>IFERROR($C$41-$B52-$C$43-$C$44/$C$45/E$50/$D$46,"检查")</f>
        <v/>
      </c>
    </row>
    <row r="53">
      <c r="B53" s="13" t="n">
        <v>130</v>
      </c>
      <c r="C53" s="14">
        <f>IFERROR($C$41-$B53-$C$43-$C$44/$C$45/C$50/$D$46,"检查")</f>
        <v/>
      </c>
      <c r="D53" s="15">
        <f>IFERROR($C$41-$B53-$C$43-$C$44/$C$45/D$50/$D$46,"检查")</f>
        <v/>
      </c>
      <c r="E53" s="14">
        <f>IFERROR($C$41-$B53-$C$43-$C$44/$C$45/E$50/$D$46,"检查")</f>
        <v/>
      </c>
    </row>
    <row r="55">
      <c r="B55" s="7" t="inlineStr">
        <is>
          <t>读法：机器人只有让阿姨“一天多接单”或“单位人工更便宜”才产生真实经济性——这正是“人机协同”的价值主张；日均 15 单、人工 70 元时毛贡献约 66 元/单，才有规模化空间。</t>
        </is>
      </c>
    </row>
    <row r="57" ht="24" customHeight="1">
      <c r="B57" s="6" t="inlineStr">
        <is>
          <t>C. 测算做完后，用自己的话回答（写进 PPT 第 8 页）</t>
        </is>
      </c>
    </row>
    <row r="58" ht="22" customHeight="1">
      <c r="B58" s="7" t="inlineStr">
        <is>
          <t>1. 首批体验家庭该不该收费？收多少、换什么？（提示：免费换数据与口碑 vs 低价验证支付意愿）</t>
        </is>
      </c>
    </row>
    <row r="59" ht="22" customHeight="1">
      <c r="B59" s="7" t="inlineStr">
        <is>
          <t>2. 规模化后定价组合长什么样？（提示：硬件接近成本价 + 能力订阅，还是整机买断？FSD 从买断转订阅说明了什么）</t>
        </is>
      </c>
    </row>
    <row r="60" ht="22" customHeight="1">
      <c r="B60" s="7" t="inlineStr">
        <is>
          <t>3. 哪种模式先跑通？判断依据是单位经济账里的哪个数字？（提示：BOM 上限 / 月租金 / 订阅 LTV / 单次毛贡献）</t>
        </is>
      </c>
    </row>
    <row r="62" ht="24" customHeight="1">
      <c r="B62" s="6" t="inlineStr">
        <is>
          <t>D. 研报口径交叉验证（券商研报惯用：BOM 拆解 / 渗透率对标 / TAM 量级速算）</t>
        </is>
      </c>
    </row>
    <row r="63" ht="38" customHeight="1">
      <c r="B63" s="2" t="inlineStr">
        <is>
          <t>锚点</t>
        </is>
      </c>
      <c r="C63" s="2" t="inlineStr">
        <is>
          <t>数值</t>
        </is>
      </c>
      <c r="D63" s="2" t="inlineStr">
        <is>
          <t>怎么用（研报视角）</t>
        </is>
      </c>
      <c r="E63" s="2" t="inlineStr">
        <is>
          <t>来源</t>
        </is>
      </c>
    </row>
    <row r="64" ht="102" customHeight="1">
      <c r="B64" s="3" t="inlineStr">
        <is>
          <t>BOM 结构（研报拆解口径）</t>
        </is>
      </c>
      <c r="C64" s="3" t="inlineStr">
        <is>
          <t>执行器总成约 35%；丝杠 9–19%、减速器 8–13%</t>
        </is>
      </c>
      <c r="D64" s="3" t="inlineStr">
        <is>
          <t>给“BOM 上限 1.35 万”加约束：执行器预算只剩约 4700 元——验证买断价 3 万是否做得出来</t>
        </is>
      </c>
      <c r="E64" s="3" t="inlineStr">
        <is>
          <t>财联社/东海证券/新浪财经（核实 2026-09-05）</t>
        </is>
      </c>
    </row>
    <row r="65" ht="102" customHeight="1">
      <c r="B65" s="4" t="inlineStr">
        <is>
          <t>中国扫地机渗透率</t>
        </is>
      </c>
      <c r="C65" s="4" t="inlineStr">
        <is>
          <t>2021–2024 停滞在 5–6%（美国 20.5%、欧洲约 15%；高线城市已超 20%）</t>
        </is>
      </c>
      <c r="D65" s="4" t="inlineStr">
        <is>
          <t>渗透率涨不动的原因是价与体验——研报共识“价格下探是渗透率提升的推手”，支持低价进入</t>
        </is>
      </c>
      <c r="E65" s="4" t="inlineStr">
        <is>
          <t>欧睿国际/观研报告网/21财经（核实 2026-09-05）</t>
        </is>
      </c>
    </row>
    <row r="67">
      <c r="B67" s="7" t="inlineStr">
        <is>
          <t>TAM 量级速算——假设：城镇家庭数（亿户）</t>
        </is>
      </c>
      <c r="C67" s="16" t="n">
        <v>3.2</v>
      </c>
      <c r="D67" s="7" t="inlineStr">
        <is>
          <t>目标渗透率</t>
        </is>
      </c>
      <c r="E67" s="9" t="n">
        <v>0.01</v>
      </c>
    </row>
    <row r="68">
      <c r="B68" s="7" t="inlineStr">
        <is>
          <t>假设：客单价（元/台，参照买断口径）</t>
        </is>
      </c>
      <c r="C68" s="8" t="n">
        <v>30000</v>
      </c>
    </row>
    <row r="69">
      <c r="B69" s="7" t="inlineStr">
        <is>
          <t>→ TAM 量级（亿元/年）</t>
        </is>
      </c>
      <c r="C69" s="10">
        <f>IFERROR(C67*E67*C68,"检查假设")</f>
        <v/>
      </c>
      <c r="E69" s="7" t="inlineStr">
        <is>
          <t>读法：即便只有 1% 家庭渗透也是近千亿市场——定价的关键不是利润率，是先降门槛换渗透；渗透率对标见上，这正是研报给“渗透率空间”的标准算法。</t>
        </is>
      </c>
    </row>
  </sheetData>
  <mergeCells count="11">
    <mergeCell ref="D38:F38"/>
    <mergeCell ref="B55:F55"/>
    <mergeCell ref="B2:F2"/>
    <mergeCell ref="B16:F16"/>
    <mergeCell ref="D31:F31"/>
    <mergeCell ref="D22:F22"/>
    <mergeCell ref="B59:F59"/>
    <mergeCell ref="B60:F60"/>
    <mergeCell ref="E69:F69"/>
    <mergeCell ref="B58:F58"/>
    <mergeCell ref="E47:F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.2" customWidth="1" min="2" max="2"/>
    <col width="34" customWidth="1" min="3" max="3"/>
    <col width="34" customWidth="1" min="4" max="4"/>
    <col width="22" customWidth="1" min="5" max="5"/>
    <col width="12" customWidth="1" min="6" max="6"/>
  </cols>
  <sheetData>
    <row r="1" ht="15" customHeight="1"/>
    <row r="2" ht="32" customHeight="1">
      <c r="B2" s="1" t="inlineStr">
        <is>
          <t>数据来源清单（每条数据都要能 30 秒内指出来源）</t>
        </is>
      </c>
    </row>
    <row r="3" ht="8" customHeight="1"/>
    <row r="4" ht="38" customHeight="1">
      <c r="B4" s="2" t="inlineStr">
        <is>
          <t>来源类型</t>
        </is>
      </c>
      <c r="C4" s="2" t="inlineStr">
        <is>
          <t>名称/入口</t>
        </is>
      </c>
      <c r="D4" s="2" t="inlineStr">
        <is>
          <t>用它查什么</t>
        </is>
      </c>
      <c r="E4" s="2" t="inlineStr">
        <is>
          <t>链接/路径</t>
        </is>
      </c>
      <c r="F4" s="2" t="inlineStr">
        <is>
          <t>核实日期（你来填）</t>
        </is>
      </c>
    </row>
    <row r="5" ht="38" customHeight="1">
      <c r="B5" s="3" t="inlineStr">
        <is>
          <t>目标公司官网</t>
        </is>
      </c>
      <c r="C5" s="3" t="inlineStr">
        <is>
          <t>自变量机器人 x2robot.com</t>
        </is>
      </c>
      <c r="D5" s="3" t="inlineStr">
        <is>
          <t>产品形态、模型发布、服务合作、招聘信息</t>
        </is>
      </c>
      <c r="E5" s="3" t="inlineStr">
        <is>
          <t>https://x2robot.com/</t>
        </is>
      </c>
      <c r="F5" s="3" t="inlineStr"/>
    </row>
    <row r="6" ht="70" customHeight="1">
      <c r="B6" s="4" t="inlineStr">
        <is>
          <t>竞品官网</t>
        </is>
      </c>
      <c r="C6" s="4" t="inlineStr">
        <is>
          <t>宇树 unitree.com / 石头 cn.roborock.com / 科沃斯 ecovacs.com / 追觅 dreame.com / 云鲸 narwal.com</t>
        </is>
      </c>
      <c r="D6" s="4" t="inlineStr">
        <is>
          <t>产品参数、官方指导价、场景话术</t>
        </is>
      </c>
      <c r="E6" s="4" t="inlineStr">
        <is>
          <t>打开后自己核实</t>
        </is>
      </c>
      <c r="F6" s="4" t="inlineStr"/>
    </row>
    <row r="7" ht="38" customHeight="1">
      <c r="B7" s="3" t="inlineStr">
        <is>
          <t>竞品官网</t>
        </is>
      </c>
      <c r="C7" s="3" t="inlineStr">
        <is>
          <t>智元（搜索“智元机器人官网”）/ 银河通用 galbot.com</t>
        </is>
      </c>
      <c r="D7" s="3" t="inlineStr">
        <is>
          <t>产品线、商业模式（B端/C端）</t>
        </is>
      </c>
      <c r="E7" s="3" t="inlineStr">
        <is>
          <t>打开后自己核实</t>
        </is>
      </c>
      <c r="F7" s="3" t="inlineStr"/>
    </row>
    <row r="8" ht="38" customHeight="1">
      <c r="B8" s="4" t="inlineStr">
        <is>
          <t>电商平台</t>
        </is>
      </c>
      <c r="C8" s="4" t="inlineStr">
        <is>
          <t>京东/天猫搜“扫地机器人”“人形机器人”</t>
        </is>
      </c>
      <c r="D8" s="4" t="inlineStr">
        <is>
          <t>旗舰到手价、销量、用户评价（差评是需求金矿）</t>
        </is>
      </c>
      <c r="E8" s="4" t="inlineStr">
        <is>
          <t>搜索品牌+旗舰</t>
        </is>
      </c>
      <c r="F8" s="4" t="inlineStr"/>
    </row>
    <row r="9" ht="38" customHeight="1">
      <c r="B9" s="3" t="inlineStr">
        <is>
          <t>财经/科技媒体</t>
        </is>
      </c>
      <c r="C9" s="3" t="inlineStr">
        <is>
          <t>36氪、财联社、证券时报、界面、雷峰网、量子位、机器之心、高工机器人</t>
        </is>
      </c>
      <c r="D9" s="3" t="inlineStr">
        <is>
          <t>融资、量产、商业模式、行业数据</t>
        </is>
      </c>
      <c r="E9" s="3" t="inlineStr">
        <is>
          <t>搜索“具身智能 家庭”</t>
        </is>
      </c>
      <c r="F9" s="3" t="inlineStr"/>
    </row>
    <row r="10" ht="38" customHeight="1">
      <c r="B10" s="4" t="inlineStr">
        <is>
          <t>用户声音</t>
        </is>
      </c>
      <c r="C10" s="4" t="inlineStr">
        <is>
          <t>知乎 / 什么值得买 / 小红书</t>
        </is>
      </c>
      <c r="D10" s="4" t="inlineStr">
        <is>
          <t>搜“扫地机器人 后悔”“机器人 老人”，收集真实痛点</t>
        </is>
      </c>
      <c r="E10" s="4" t="inlineStr">
        <is>
          <t>搜索关键词</t>
        </is>
      </c>
      <c r="F10" s="4" t="inlineStr"/>
    </row>
    <row r="11" ht="38" customHeight="1">
      <c r="B11" s="3" t="inlineStr">
        <is>
          <t>服务渠道</t>
        </is>
      </c>
      <c r="C11" s="3" t="inlineStr">
        <is>
          <t>58到家 / 天鹅到家 App</t>
        </is>
      </c>
      <c r="D11" s="3" t="inlineStr">
        <is>
          <t>保洁时薪与套餐价——机器人服务定价的对照系</t>
        </is>
      </c>
      <c r="E11" s="3" t="inlineStr">
        <is>
          <t>App 内查看</t>
        </is>
      </c>
      <c r="F11" s="3" t="inlineStr"/>
    </row>
    <row r="12" ht="38" customHeight="1">
      <c r="B12" s="4" t="inlineStr">
        <is>
          <t>招聘情报</t>
        </is>
      </c>
      <c r="C12" s="4" t="inlineStr">
        <is>
          <t>BOSS直聘搜“具身智能 GTM/产品经理”</t>
        </is>
      </c>
      <c r="D12" s="4" t="inlineStr">
        <is>
          <t>看同行 GTM 岗位 JD，反推各家公司商业化重点</t>
        </is>
      </c>
      <c r="E12" s="4" t="inlineStr">
        <is>
          <t>App 内搜索</t>
        </is>
      </c>
      <c r="F12" s="4" t="inlineStr"/>
    </row>
    <row r="13" ht="22" customHeight="1">
      <c r="B13" s="3" t="inlineStr">
        <is>
          <t>融资/工商</t>
        </is>
      </c>
      <c r="C13" s="3" t="inlineStr">
        <is>
          <t>企查查 / 天眼查 / IT桔子</t>
        </is>
      </c>
      <c r="D13" s="3" t="inlineStr">
        <is>
          <t>融资历史、估值、股东（判断公司阶段）</t>
        </is>
      </c>
      <c r="E13" s="3" t="inlineStr">
        <is>
          <t>搜公司名</t>
        </is>
      </c>
      <c r="F13" s="3" t="inlineStr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18" customWidth="1" min="4" max="4"/>
    <col width="12" customWidth="1" min="5" max="5"/>
    <col width="30" customWidth="1" min="6" max="6"/>
    <col width="16" customWidth="1" min="7" max="7"/>
    <col width="18" customWidth="1" min="8" max="8"/>
    <col width="26" customWidth="1" min="9" max="9"/>
  </cols>
  <sheetData>
    <row r="1" ht="15" customHeight="1"/>
    <row r="2" ht="32" customHeight="1">
      <c r="B2" s="1" t="inlineStr">
        <is>
          <t>用户调研录入与图表（录入真实回答后自动出图）</t>
        </is>
      </c>
    </row>
    <row r="3" ht="30" customHeight="1">
      <c r="B3" s="5" t="inlineStr">
        <is>
          <t>使用规则：① 用《用户调研问卷.md》收集 30+ 份真实回答后逐行录入；② 前 3 行为示例（录入前删除）；③ 汇总区与右侧图表自动更新；④ 样本不足 30 份不要对外称“调研发现”，只可称“初步访谈/问卷”。</t>
        </is>
      </c>
    </row>
    <row r="5" ht="28" customHeight="1">
      <c r="B5" s="2" t="inlineStr">
        <is>
          <t>编号</t>
        </is>
      </c>
      <c r="C5" s="2" t="inlineStr">
        <is>
          <t>提交日期</t>
        </is>
      </c>
      <c r="D5" s="2" t="inlineStr">
        <is>
          <t>居住区域类型</t>
        </is>
      </c>
      <c r="E5" s="2" t="inlineStr">
        <is>
          <t>年龄段</t>
        </is>
      </c>
      <c r="F5" s="2" t="inlineStr">
        <is>
          <t>价格锚选择（买断1万/月租999/单次149）</t>
        </is>
      </c>
      <c r="G5" s="2" t="inlineStr">
        <is>
          <t>可接受月支出（元）</t>
        </is>
      </c>
      <c r="H5" s="2" t="inlineStr">
        <is>
          <t>免费+每周回访意愿</t>
        </is>
      </c>
      <c r="I5" s="2" t="inlineStr">
        <is>
          <t>一句话顾虑</t>
        </is>
      </c>
    </row>
    <row r="6" ht="22" customHeight="1">
      <c r="B6" s="3" t="n">
        <v>1</v>
      </c>
      <c r="C6" s="3" t="inlineStr">
        <is>
          <t>2026-09-10</t>
        </is>
      </c>
      <c r="D6" s="3" t="inlineStr">
        <is>
          <t>核心商圈小区</t>
        </is>
      </c>
      <c r="E6" s="3" t="inlineStr">
        <is>
          <t>26–35</t>
        </is>
      </c>
      <c r="F6" s="3" t="inlineStr">
        <is>
          <t>单次149</t>
        </is>
      </c>
      <c r="G6" s="3" t="n">
        <v>500</v>
      </c>
      <c r="H6" s="3" t="inlineStr">
        <is>
          <t>愿意</t>
        </is>
      </c>
      <c r="I6" s="3" t="inlineStr">
        <is>
          <t>示例：怕机器人碰坏东西（录入前删除本行）</t>
        </is>
      </c>
    </row>
    <row r="7" ht="22" customHeight="1">
      <c r="B7" s="4" t="n">
        <v>2</v>
      </c>
      <c r="C7" s="4" t="inlineStr">
        <is>
          <t>2026-09-10</t>
        </is>
      </c>
      <c r="D7" s="4" t="inlineStr">
        <is>
          <t>城中村/自建房</t>
        </is>
      </c>
      <c r="E7" s="4" t="inlineStr">
        <is>
          <t>36–45</t>
        </is>
      </c>
      <c r="F7" s="4" t="inlineStr">
        <is>
          <t>买断1万</t>
        </is>
      </c>
      <c r="G7" s="4" t="n">
        <v>0</v>
      </c>
      <c r="H7" s="4" t="inlineStr">
        <is>
          <t>不愿意</t>
        </is>
      </c>
      <c r="I7" s="4" t="inlineStr">
        <is>
          <t>示例：觉得不如请阿姨实在（录入前删除本行）</t>
        </is>
      </c>
    </row>
    <row r="8" ht="22" customHeight="1">
      <c r="B8" s="3" t="n">
        <v>3</v>
      </c>
      <c r="C8" s="3" t="inlineStr">
        <is>
          <t>2026-09-11</t>
        </is>
      </c>
      <c r="D8" s="3" t="inlineStr">
        <is>
          <t>核心商圈小区</t>
        </is>
      </c>
      <c r="E8" s="3" t="inlineStr">
        <is>
          <t>18–25</t>
        </is>
      </c>
      <c r="F8" s="3" t="inlineStr">
        <is>
          <t>单次149</t>
        </is>
      </c>
      <c r="G8" s="3" t="n">
        <v>800</v>
      </c>
      <c r="H8" s="3" t="inlineStr">
        <is>
          <t>看条件</t>
        </is>
      </c>
      <c r="I8" s="3" t="inlineStr">
        <is>
          <t>示例：担心隐私（录入前删除本行）</t>
        </is>
      </c>
    </row>
    <row r="9" ht="22" customHeight="1">
      <c r="B9" s="4" t="n"/>
      <c r="C9" s="4" t="n"/>
      <c r="D9" s="4" t="n"/>
      <c r="E9" s="4" t="n"/>
      <c r="F9" s="4" t="n"/>
      <c r="G9" s="4" t="n"/>
      <c r="H9" s="4" t="n"/>
      <c r="I9" s="4" t="n"/>
    </row>
    <row r="10" ht="22" customHeight="1"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2" customHeight="1"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22" customHeight="1"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2" customHeight="1"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22" customHeight="1"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22" customHeight="1"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22" customHeight="1"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2" customHeight="1"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22" customHeight="1"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2" customHeight="1"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22" customHeight="1"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2" customHeight="1"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22" customHeight="1">
      <c r="B22" s="3" t="n"/>
      <c r="C22" s="3" t="n"/>
      <c r="D22" s="3" t="n"/>
      <c r="E22" s="3" t="n"/>
      <c r="F22" s="3" t="n"/>
      <c r="G22" s="3" t="n"/>
      <c r="H22" s="3" t="n"/>
      <c r="I22" s="3" t="n"/>
    </row>
    <row r="23" ht="22" customHeight="1">
      <c r="B23" s="4" t="n"/>
      <c r="C23" s="4" t="n"/>
      <c r="D23" s="4" t="n"/>
      <c r="E23" s="4" t="n"/>
      <c r="F23" s="4" t="n"/>
      <c r="G23" s="4" t="n"/>
      <c r="H23" s="4" t="n"/>
      <c r="I23" s="4" t="n"/>
    </row>
    <row r="24" ht="22" customHeight="1"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2" customHeight="1"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22" customHeight="1"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2" customHeight="1"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22" customHeight="1"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2" customHeight="1"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22" customHeight="1"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2" customHeight="1"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22" customHeight="1">
      <c r="B32" s="3" t="n"/>
      <c r="C32" s="3" t="n"/>
      <c r="D32" s="3" t="n"/>
      <c r="E32" s="3" t="n"/>
      <c r="F32" s="3" t="n"/>
      <c r="G32" s="3" t="n"/>
      <c r="H32" s="3" t="n"/>
      <c r="I32" s="3" t="n"/>
    </row>
    <row r="33" ht="22" customHeight="1">
      <c r="B33" s="4" t="n"/>
      <c r="C33" s="4" t="n"/>
      <c r="D33" s="4" t="n"/>
      <c r="E33" s="4" t="n"/>
      <c r="F33" s="4" t="n"/>
      <c r="G33" s="4" t="n"/>
      <c r="H33" s="4" t="n"/>
      <c r="I33" s="4" t="n"/>
    </row>
    <row r="34" ht="22" customHeight="1"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22" customHeight="1"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22" customHeight="1"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22" customHeight="1">
      <c r="B37" s="4" t="n"/>
      <c r="C37" s="4" t="n"/>
      <c r="D37" s="4" t="n"/>
      <c r="E37" s="4" t="n"/>
      <c r="F37" s="4" t="n"/>
      <c r="G37" s="4" t="n"/>
      <c r="H37" s="4" t="n"/>
      <c r="I37" s="4" t="n"/>
    </row>
    <row r="38" ht="22" customHeight="1"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22" customHeight="1">
      <c r="B39" s="4" t="n"/>
      <c r="C39" s="4" t="n"/>
      <c r="D39" s="4" t="n"/>
      <c r="E39" s="4" t="n"/>
      <c r="F39" s="4" t="n"/>
      <c r="G39" s="4" t="n"/>
      <c r="H39" s="4" t="n"/>
      <c r="I39" s="4" t="n"/>
    </row>
    <row r="40" ht="22" customHeight="1"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22" customHeight="1"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22" customHeight="1">
      <c r="B42" s="3" t="n"/>
      <c r="C42" s="3" t="n"/>
      <c r="D42" s="3" t="n"/>
      <c r="E42" s="3" t="n"/>
      <c r="F42" s="3" t="n"/>
      <c r="G42" s="3" t="n"/>
      <c r="H42" s="3" t="n"/>
      <c r="I42" s="3" t="n"/>
    </row>
    <row r="45" ht="24" customHeight="1">
      <c r="B45" s="6" t="inlineStr">
        <is>
          <t>汇总 A：按居住区域类型（核心商圈 vs 城中村——验证“哪里更愿意付费”）</t>
        </is>
      </c>
    </row>
    <row r="46" ht="28" customHeight="1">
      <c r="B46" s="2" t="inlineStr">
        <is>
          <t>居住类型</t>
        </is>
      </c>
      <c r="C46" s="2" t="inlineStr">
        <is>
          <t>样本数</t>
        </is>
      </c>
      <c r="D46" s="2" t="inlineStr">
        <is>
          <t>付费友好人数</t>
        </is>
      </c>
      <c r="E46" s="2" t="inlineStr">
        <is>
          <t>付费友好率</t>
        </is>
      </c>
      <c r="F46" s="2" t="inlineStr">
        <is>
          <t>平均可接受月支出（元）</t>
        </is>
      </c>
    </row>
    <row r="47" ht="22" customHeight="1">
      <c r="B47" s="3" t="inlineStr">
        <is>
          <t>核心商圈小区</t>
        </is>
      </c>
      <c r="C47" s="17">
        <f>COUNTIF($D$6:$D$42,B47)</f>
        <v/>
      </c>
      <c r="D47" s="17">
        <f>COUNTIFS($D$6:$D$42,B47,$H$6:$H$42,"愿意")+COUNTIFS($D$6:$D$42,B47,$H$6:$H$42,"看条件")</f>
        <v/>
      </c>
      <c r="E47" s="18">
        <f>IFERROR(D47/C47,0)</f>
        <v/>
      </c>
      <c r="F47" s="19">
        <f>IFERROR(AVERAGEIFS($G$6:$G$42,$D$6:$D$42,B47),0)</f>
        <v/>
      </c>
    </row>
    <row r="48" ht="22" customHeight="1">
      <c r="B48" s="4" t="inlineStr">
        <is>
          <t>普通小区</t>
        </is>
      </c>
      <c r="C48" s="20">
        <f>COUNTIF($D$6:$D$42,B48)</f>
        <v/>
      </c>
      <c r="D48" s="20">
        <f>COUNTIFS($D$6:$D$42,B48,$H$6:$H$42,"愿意")+COUNTIFS($D$6:$D$42,B48,$H$6:$H$42,"看条件")</f>
        <v/>
      </c>
      <c r="E48" s="21">
        <f>IFERROR(D48/C48,0)</f>
        <v/>
      </c>
      <c r="F48" s="22">
        <f>IFERROR(AVERAGEIFS($G$6:$G$42,$D$6:$D$42,B48),0)</f>
        <v/>
      </c>
    </row>
    <row r="49" ht="22" customHeight="1">
      <c r="B49" s="3" t="inlineStr">
        <is>
          <t>城中村/自建房</t>
        </is>
      </c>
      <c r="C49" s="17">
        <f>COUNTIF($D$6:$D$42,B49)</f>
        <v/>
      </c>
      <c r="D49" s="17">
        <f>COUNTIFS($D$6:$D$42,B49,$H$6:$H$42,"愿意")+COUNTIFS($D$6:$D$42,B49,$H$6:$H$42,"看条件")</f>
        <v/>
      </c>
      <c r="E49" s="18">
        <f>IFERROR(D49/C49,0)</f>
        <v/>
      </c>
      <c r="F49" s="19">
        <f>IFERROR(AVERAGEIFS($G$6:$G$42,$D$6:$D$42,B49),0)</f>
        <v/>
      </c>
    </row>
    <row r="50" ht="22" customHeight="1">
      <c r="B50" s="4" t="inlineStr">
        <is>
          <t>其他</t>
        </is>
      </c>
      <c r="C50" s="20">
        <f>COUNTIF($D$6:$D$42,B50)</f>
        <v/>
      </c>
      <c r="D50" s="20">
        <f>COUNTIFS($D$6:$D$42,B50,$H$6:$H$42,"愿意")+COUNTIFS($D$6:$D$42,B50,$H$6:$H$42,"看条件")</f>
        <v/>
      </c>
      <c r="E50" s="21">
        <f>IFERROR(D50/C50,0)</f>
        <v/>
      </c>
      <c r="F50" s="22">
        <f>IFERROR(AVERAGEIFS($G$6:$G$42,$D$6:$D$42,B50),0)</f>
        <v/>
      </c>
    </row>
    <row r="52" ht="24" customHeight="1">
      <c r="B52" s="6" t="inlineStr">
        <is>
          <t>汇总 B：按年龄段（验证“年轻人更愿意付费”）</t>
        </is>
      </c>
    </row>
    <row r="53" ht="28" customHeight="1">
      <c r="B53" s="2" t="inlineStr">
        <is>
          <t>年龄段</t>
        </is>
      </c>
      <c r="C53" s="2" t="inlineStr">
        <is>
          <t>样本数</t>
        </is>
      </c>
      <c r="D53" s="2" t="inlineStr">
        <is>
          <t>付费友好人数</t>
        </is>
      </c>
      <c r="E53" s="2" t="inlineStr">
        <is>
          <t>付费友好率</t>
        </is>
      </c>
      <c r="F53" s="2" t="inlineStr">
        <is>
          <t>平均可接受月支出（元）</t>
        </is>
      </c>
    </row>
    <row r="54" ht="22" customHeight="1">
      <c r="B54" s="3" t="inlineStr">
        <is>
          <t>18–25</t>
        </is>
      </c>
      <c r="C54" s="17">
        <f>COUNTIF($E$6:$E$42,B54)</f>
        <v/>
      </c>
      <c r="D54" s="17">
        <f>COUNTIFS($E$6:$E$42,B54,$H$6:$H$42,"愿意")+COUNTIFS($E$6:$E$42,B54,$H$6:$H$42,"看条件")</f>
        <v/>
      </c>
      <c r="E54" s="18">
        <f>IFERROR(D54/C54,0)</f>
        <v/>
      </c>
      <c r="F54" s="19">
        <f>IFERROR(AVERAGEIFS($G$6:$G$42,$E$6:$E$42,B54),0)</f>
        <v/>
      </c>
    </row>
    <row r="55" ht="22" customHeight="1">
      <c r="B55" s="4" t="inlineStr">
        <is>
          <t>26–35</t>
        </is>
      </c>
      <c r="C55" s="20">
        <f>COUNTIF($E$6:$E$42,B55)</f>
        <v/>
      </c>
      <c r="D55" s="20">
        <f>COUNTIFS($E$6:$E$42,B55,$H$6:$H$42,"愿意")+COUNTIFS($E$6:$E$42,B55,$H$6:$H$42,"看条件")</f>
        <v/>
      </c>
      <c r="E55" s="21">
        <f>IFERROR(D55/C55,0)</f>
        <v/>
      </c>
      <c r="F55" s="22">
        <f>IFERROR(AVERAGEIFS($G$6:$G$42,$E$6:$E$42,B55),0)</f>
        <v/>
      </c>
    </row>
    <row r="56" ht="22" customHeight="1">
      <c r="B56" s="3" t="inlineStr">
        <is>
          <t>36–45</t>
        </is>
      </c>
      <c r="C56" s="17">
        <f>COUNTIF($E$6:$E$42,B56)</f>
        <v/>
      </c>
      <c r="D56" s="17">
        <f>COUNTIFS($E$6:$E$42,B56,$H$6:$H$42,"愿意")+COUNTIFS($E$6:$E$42,B56,$H$6:$H$42,"看条件")</f>
        <v/>
      </c>
      <c r="E56" s="18">
        <f>IFERROR(D56/C56,0)</f>
        <v/>
      </c>
      <c r="F56" s="19">
        <f>IFERROR(AVERAGEIFS($G$6:$G$42,$E$6:$E$42,B56),0)</f>
        <v/>
      </c>
    </row>
    <row r="57" ht="22" customHeight="1">
      <c r="B57" s="4" t="inlineStr">
        <is>
          <t>46及以上</t>
        </is>
      </c>
      <c r="C57" s="20">
        <f>COUNTIF($E$6:$E$42,B57)</f>
        <v/>
      </c>
      <c r="D57" s="20">
        <f>COUNTIFS($E$6:$E$42,B57,$H$6:$H$42,"愿意")+COUNTIFS($E$6:$E$42,B57,$H$6:$H$42,"看条件")</f>
        <v/>
      </c>
      <c r="E57" s="21">
        <f>IFERROR(D57/C57,0)</f>
        <v/>
      </c>
      <c r="F57" s="22">
        <f>IFERROR(AVERAGEIFS($G$6:$G$42,$E$6:$E$42,B57),0)</f>
        <v/>
      </c>
    </row>
    <row r="59" ht="28" customHeight="1">
      <c r="B59" s="5" t="inlineStr">
        <is>
          <t>诚信提示：图表只认真实录入的数据。如果结果与预期相反（例如城中村/年长者付费意愿更高），按真实数据讲——与常识相反的发现往往最有面试价值。</t>
        </is>
      </c>
    </row>
  </sheetData>
  <mergeCells count="3">
    <mergeCell ref="B3:I3"/>
    <mergeCell ref="B2:I2"/>
    <mergeCell ref="B59:I59"/>
  </mergeCells>
  <dataValidations count="3">
    <dataValidation sqref="D6:D42" showDropDown="0" showInputMessage="0" showErrorMessage="0" allowBlank="1" type="list">
      <formula1>"核心商圈小区,普通小区,城中村/自建房,其他"</formula1>
    </dataValidation>
    <dataValidation sqref="E6:E42" showDropDown="0" showInputMessage="0" showErrorMessage="0" allowBlank="1" type="list">
      <formula1>"18–25,26–35,36–45,46及以上"</formula1>
    </dataValidation>
    <dataValidation sqref="H6:H42" showDropDown="0" showInputMessage="0" showErrorMessage="0" allowBlank="1" type="list">
      <formula1>"愿意,看条件,不愿意"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2026-09-04T20:03:38Z</dcterms:created>
  <dcterms:modified xmlns:dcterms="http://purl.org/dc/terms/" xmlns:xsi="http://www.w3.org/2001/XMLSchema-instance" xsi:type="dcterms:W3CDTF">2026-09-04T20:03:38Z</dcterms:modified>
</cp:coreProperties>
</file>